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hpcdelaware-my.sharepoint.com/personal/rdietz_housingalliancede_org/Documents/Desktop/Capstone/"/>
    </mc:Choice>
  </mc:AlternateContent>
  <xr:revisionPtr revIDLastSave="442" documentId="8_{58011C8A-6EEF-43E5-BA14-5EE579FB3F57}" xr6:coauthVersionLast="47" xr6:coauthVersionMax="47" xr10:uidLastSave="{9C4F4945-E2F6-4E44-862F-85D1CD8DDA67}"/>
  <bookViews>
    <workbookView xWindow="-120" yWindow="-120" windowWidth="29040" windowHeight="15840" xr2:uid="{FD7CE67F-589C-466B-B2BE-149863F2083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9" i="1" l="1"/>
  <c r="P6" i="1"/>
  <c r="P5" i="1"/>
  <c r="P3" i="1"/>
  <c r="P4" i="1"/>
  <c r="P7" i="1"/>
  <c r="P8" i="1"/>
  <c r="P10" i="1"/>
  <c r="P11" i="1"/>
  <c r="P2" i="1"/>
</calcChain>
</file>

<file path=xl/sharedStrings.xml><?xml version="1.0" encoding="utf-8"?>
<sst xmlns="http://schemas.openxmlformats.org/spreadsheetml/2006/main" count="188" uniqueCount="74">
  <si>
    <t>geometry</t>
  </si>
  <si>
    <t>formatter</t>
  </si>
  <si>
    <t>summary_name</t>
  </si>
  <si>
    <t>count</t>
  </si>
  <si>
    <t>NA</t>
  </si>
  <si>
    <t>geo_district</t>
  </si>
  <si>
    <t>Raw Count</t>
  </si>
  <si>
    <t>metric_type</t>
  </si>
  <si>
    <t>per_sq_mile_</t>
  </si>
  <si>
    <t>summary_Zillow_Home_Value_Index</t>
  </si>
  <si>
    <t>geo_zip_code</t>
  </si>
  <si>
    <t>regions_covered</t>
  </si>
  <si>
    <t>Philadelphia Only</t>
  </si>
  <si>
    <t>Philadelphia &amp; Wilmington Only</t>
  </si>
  <si>
    <t>Full Metro Area</t>
  </si>
  <si>
    <t>last_updated</t>
  </si>
  <si>
    <t>url</t>
  </si>
  <si>
    <t>description</t>
  </si>
  <si>
    <t>https://data.census.gov/</t>
  </si>
  <si>
    <t>https://opendataphilly.org/datasets/crime-incidents/</t>
  </si>
  <si>
    <t>https://evictionlab.org/eviction-tracking/</t>
  </si>
  <si>
    <t>https://www.zillow.com/research/data/</t>
  </si>
  <si>
    <t>https://opendataphilly.org/datasets/philadelphia-vital-statistics-natality-births/</t>
  </si>
  <si>
    <t>Zillow Home Value Index (ZHVI) represents the “typical” home value for a region. It’s calculated as a weighted average of the middle third of homes in a given region. When referring to the ZHVI dollar amount, it should be designated as the “typical home value for the region.” It is NOT the “median home value.”</t>
  </si>
  <si>
    <t>The American Community Survey (ACS) is conducted by the U.S. Census Bureau and is the primary source of detailed social, economic, housing, and demographic data in the United States. Because census tracts are small geographies, the ACS aggregates 5 years of responses to produce reliable estimates at this level. As a result, a given year reflects surveys collected over the prior five years — for example, 2024 data spans 2020–2024.</t>
  </si>
  <si>
    <t>Crime incidents from the Philadelphia Police Department.</t>
  </si>
  <si>
    <t>The Eviction Lab is a research organization dedicated to studying the prevalence, causes, and consequences of eviction. The database it has built represents the largest accumulation of U.S. court records related to eviction ever compiled.</t>
  </si>
  <si>
    <t>Vital Statistics tables that contain aggregate metrics on the natality (births) of Philadelphia residents. Included in these datasets are natality metrics by planning district.</t>
  </si>
  <si>
    <t>summary_ACS_Demographics</t>
  </si>
  <si>
    <t>summary_Vital_Statistics_Natality</t>
  </si>
  <si>
    <t>summary_PPD_Crime_Incidents</t>
  </si>
  <si>
    <t>geo_census_tract</t>
  </si>
  <si>
    <t>Dollar Value</t>
  </si>
  <si>
    <t>dollar</t>
  </si>
  <si>
    <t>derived_col_2</t>
  </si>
  <si>
    <t>derived_col_3</t>
  </si>
  <si>
    <t>total_crimes;Aggravated_Assault_No_Firearm;Disorderly_Conduct;Other_Assaults;Thefts;Vandalism..fslash..Criminal_Mischief;Theft_from_Vehicle;Fraud;All_Other_Offenses;DRIVING_UNDER_THE_INFLUENCE;Narcotic_..fslash.._Drug_Law_Violations;Burglary_Residential;Robbery_Firearm;Burglary_Non..hyphen..Residential;Motor_Vehicle_Theft;Other_Sex_Offenses_..oparen..Not_Commercialized..cparen..;Robbery_No_Firearm;Embezzlement;Aggravated_Assault_Firearm;Arson;Forgery_and_Counterfeiting;Rape;Weapon_Violations;Liquor_Law_Violations;Public_Drunkenness;Offenses_Against_Family_and_Children;Vagrancy..fslash..Loitering;Prostitution_and_Commercialized_Vice;Homicide_..hyphen.._Criminal;Gambling_Violations;Receiving_Stolen_Property;Homicide_..hyphen.._Justifiable;Part_1_Violent;Part_1_Property;Homicide_..hyphen.._Gross_Negligence</t>
  </si>
  <si>
    <t>derived_col_1</t>
  </si>
  <si>
    <t>included_cols_1</t>
  </si>
  <si>
    <t>included_cols_2</t>
  </si>
  <si>
    <t>included_cols_3</t>
  </si>
  <si>
    <t>summary_ACS_Socioeconomics</t>
  </si>
  <si>
    <t>summary_ACS_Housing</t>
  </si>
  <si>
    <t>pcent_pop_</t>
  </si>
  <si>
    <t>per_1k_ppl_</t>
  </si>
  <si>
    <t>race..colon.._white_population;race..colon.._black_population;race..colon.._indigenous_population;race..colon.._asian_population;race..colon.._pacific_islander_population;race..colon.._other_population;race..colon.._multiracial_population;ethnicity..colon.._hispanic_population;ethnicity..colon.._non..hyphen..hispanic_population;gender..colon.._female_population;gender..colon.._male_population;age..colon.._..lessthan..18_population;age..colon.._18..hyphen..39_population;age..colon.._40..hyphen..59_population;age..colon.._60..plus.._population</t>
  </si>
  <si>
    <t>education..colon.._high_school_diploma;education..colon.._ged;education..colon.._some_college_less..hyphen..1..hyphen..yr;education..colon.._some_college_1..plus.._no_degree;education..colon.._associates_degree;education..colon.._bachelors_degree;education..colon.._masters_degree;education..colon.._professional_degree;education..colon.._doctorate_degree</t>
  </si>
  <si>
    <t>pcent_of_pop_age_25_plus_</t>
  </si>
  <si>
    <t>commute..colon.._drove_alone;commute..colon.._carpooled;commute..colon.._public_transit;commute..colon.._walked;commute..colon.._other;commute..colon.._worked_from_home</t>
  </si>
  <si>
    <t>pcent_workers_</t>
  </si>
  <si>
    <t>residential_evictions_filed</t>
  </si>
  <si>
    <t>per_1k_renter_hhs_</t>
  </si>
  <si>
    <t>pcent_of_owners_</t>
  </si>
  <si>
    <t>pcent_of_renters_</t>
  </si>
  <si>
    <t>pcent_total_units_</t>
  </si>
  <si>
    <t>housing_units..colon.._vacant;housing_units..colon.._occupied;housing_units..colon.._renter_occupied;housing_units..colon.._owner_occupied</t>
  </si>
  <si>
    <t>owners_cost_burdened_..oparen..30..pcent....plus.._of_income..cparen..;owners_cost_burdened_..oparen..50..pcent....plus.._of_income..cparen..</t>
  </si>
  <si>
    <t>renters_cost_burdened_..oparen..30..pcent....plus.._of_income..cparen..;renters_cost_burdened_..oparen..50..pcent....plus.._of_income..cparen..</t>
  </si>
  <si>
    <t>pcent_occupied_units_</t>
  </si>
  <si>
    <t>derived_col_4</t>
  </si>
  <si>
    <t>included_cols_4</t>
  </si>
  <si>
    <t>derived_col_5</t>
  </si>
  <si>
    <t>included_cols_5</t>
  </si>
  <si>
    <t>housing_units..colon.._renter_occupied;housing_units..colon.._owner_occupied</t>
  </si>
  <si>
    <t>summary_ACS_Labor</t>
  </si>
  <si>
    <t>pcent_of_labor_force_</t>
  </si>
  <si>
    <t>pcent_of_pop_age_16_plus_</t>
  </si>
  <si>
    <t>in_labor_force..colon.._yes;in_labor_force..colon.._no</t>
  </si>
  <si>
    <t>employed..colon.._no;employed..colon.._yes</t>
  </si>
  <si>
    <t>summary_ACS_Transportation</t>
  </si>
  <si>
    <t>summary_Eviction_Lab</t>
  </si>
  <si>
    <t>https://opendataphilly.org/datasets/fatal-crashes/</t>
  </si>
  <si>
    <t>This data set shows all fatal crashes and their investigative outcomes from PPD’s Accident Investigation Unit (AID) from 1/1/19 to the present. Crash locations are based on initial reported location. This may differ from Penn DOT's data, which uses  the location determined after investigation.</t>
  </si>
  <si>
    <t>summary_PPD_Fatal_Crash_Reports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</si>
</sst>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applyAlignment="1">
      <alignment vertical="center" wrapText="1"/>
    </xf>
    <xf numFmtId="0" fontId="0" fillId="0" borderId="0" xfId="0" applyAlignment="1">
      <alignment vertical="center" wrapText="1"/>
    </xf>
    <xf numFmtId="14" fontId="0" fillId="0" borderId="0" xfId="0" applyNumberFormat="1" applyAlignment="1">
      <alignment vertical="center" wrapText="1"/>
    </xf>
    <xf numFmtId="0" fontId="2"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ata.census.gov/" TargetMode="External"/><Relationship Id="rId3" Type="http://schemas.openxmlformats.org/officeDocument/2006/relationships/hyperlink" Target="https://opendataphilly.org/datasets/philadelphia-vital-statistics-natality-births/" TargetMode="External"/><Relationship Id="rId7" Type="http://schemas.openxmlformats.org/officeDocument/2006/relationships/hyperlink" Target="https://data.census.gov/" TargetMode="External"/><Relationship Id="rId2" Type="http://schemas.openxmlformats.org/officeDocument/2006/relationships/hyperlink" Target="https://www.zillow.com/research/data/" TargetMode="External"/><Relationship Id="rId1" Type="http://schemas.openxmlformats.org/officeDocument/2006/relationships/hyperlink" Target="https://evictionlab.org/eviction-tracking/" TargetMode="External"/><Relationship Id="rId6" Type="http://schemas.openxmlformats.org/officeDocument/2006/relationships/hyperlink" Target="https://data.census.gov/" TargetMode="External"/><Relationship Id="rId5" Type="http://schemas.openxmlformats.org/officeDocument/2006/relationships/hyperlink" Target="https://data.census.gov/" TargetMode="External"/><Relationship Id="rId4" Type="http://schemas.openxmlformats.org/officeDocument/2006/relationships/hyperlink" Target="https://opendataphilly.org/datasets/crime-incidents/" TargetMode="External"/><Relationship Id="rId9" Type="http://schemas.openxmlformats.org/officeDocument/2006/relationships/hyperlink" Target="https://data.census.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8ED5D-BDC9-4209-83AA-1797F8E97236}">
  <dimension ref="A1:R11"/>
  <sheetViews>
    <sheetView tabSelected="1" zoomScale="78" workbookViewId="0">
      <pane xSplit="1" topLeftCell="B1" activePane="topRight" state="frozen"/>
      <selection pane="topRight" activeCell="C4" sqref="C4"/>
    </sheetView>
  </sheetViews>
  <sheetFormatPr defaultColWidth="8.75" defaultRowHeight="15.75" x14ac:dyDescent="0.25"/>
  <cols>
    <col min="1" max="1" width="29" style="2" customWidth="1"/>
    <col min="2" max="2" width="16.25" style="2" customWidth="1"/>
    <col min="3" max="3" width="29" style="2" customWidth="1"/>
    <col min="4" max="4" width="12.75" style="2" customWidth="1"/>
    <col min="5" max="5" width="23" style="2" customWidth="1"/>
    <col min="6" max="6" width="26.25" style="2" customWidth="1"/>
    <col min="7" max="7" width="24.625" style="2" customWidth="1"/>
    <col min="8" max="8" width="26.25" style="2" customWidth="1"/>
    <col min="9" max="9" width="24.625" style="2" customWidth="1"/>
    <col min="10" max="10" width="26.25" style="2" customWidth="1"/>
    <col min="11" max="15" width="24.625" style="2" customWidth="1"/>
    <col min="16" max="16" width="15.875" style="2" customWidth="1"/>
    <col min="17" max="17" width="13.25" style="2" customWidth="1"/>
    <col min="18" max="18" width="63" style="2" customWidth="1"/>
    <col min="19" max="16384" width="8.75" style="2"/>
  </cols>
  <sheetData>
    <row r="1" spans="1:18" x14ac:dyDescent="0.25">
      <c r="A1" s="1" t="s">
        <v>2</v>
      </c>
      <c r="B1" s="1" t="s">
        <v>0</v>
      </c>
      <c r="C1" s="1" t="s">
        <v>11</v>
      </c>
      <c r="D1" s="1" t="s">
        <v>1</v>
      </c>
      <c r="E1" s="1" t="s">
        <v>7</v>
      </c>
      <c r="F1" s="1" t="s">
        <v>37</v>
      </c>
      <c r="G1" s="1" t="s">
        <v>38</v>
      </c>
      <c r="H1" s="1" t="s">
        <v>34</v>
      </c>
      <c r="I1" s="1" t="s">
        <v>39</v>
      </c>
      <c r="J1" s="1" t="s">
        <v>35</v>
      </c>
      <c r="K1" s="1" t="s">
        <v>40</v>
      </c>
      <c r="L1" s="1" t="s">
        <v>59</v>
      </c>
      <c r="M1" s="1" t="s">
        <v>60</v>
      </c>
      <c r="N1" s="1" t="s">
        <v>61</v>
      </c>
      <c r="O1" s="1" t="s">
        <v>62</v>
      </c>
      <c r="P1" s="1" t="s">
        <v>15</v>
      </c>
      <c r="Q1" s="1" t="s">
        <v>16</v>
      </c>
      <c r="R1" s="1" t="s">
        <v>17</v>
      </c>
    </row>
    <row r="2" spans="1:18" ht="46.15" customHeight="1" x14ac:dyDescent="0.25">
      <c r="A2" s="2" t="s">
        <v>28</v>
      </c>
      <c r="B2" s="2" t="s">
        <v>31</v>
      </c>
      <c r="C2" s="2" t="s">
        <v>14</v>
      </c>
      <c r="D2" s="2" t="s">
        <v>3</v>
      </c>
      <c r="E2" s="2" t="s">
        <v>6</v>
      </c>
      <c r="F2" s="2" t="s">
        <v>43</v>
      </c>
      <c r="G2" s="2" t="s">
        <v>45</v>
      </c>
      <c r="H2" s="2" t="s">
        <v>4</v>
      </c>
      <c r="I2" s="2" t="s">
        <v>4</v>
      </c>
      <c r="J2" s="2" t="s">
        <v>4</v>
      </c>
      <c r="K2" s="2" t="s">
        <v>4</v>
      </c>
      <c r="L2" s="2" t="s">
        <v>4</v>
      </c>
      <c r="M2" s="2" t="s">
        <v>4</v>
      </c>
      <c r="N2" s="2" t="s">
        <v>4</v>
      </c>
      <c r="O2" s="2" t="s">
        <v>4</v>
      </c>
      <c r="P2" s="3">
        <f ca="1">TODAY()</f>
        <v>46211</v>
      </c>
      <c r="Q2" s="4" t="s">
        <v>18</v>
      </c>
      <c r="R2" s="2" t="s">
        <v>24</v>
      </c>
    </row>
    <row r="3" spans="1:18" ht="46.15" customHeight="1" x14ac:dyDescent="0.25">
      <c r="A3" s="2" t="s">
        <v>41</v>
      </c>
      <c r="B3" s="2" t="s">
        <v>31</v>
      </c>
      <c r="C3" s="2" t="s">
        <v>14</v>
      </c>
      <c r="D3" s="2" t="s">
        <v>3</v>
      </c>
      <c r="E3" s="2" t="s">
        <v>6</v>
      </c>
      <c r="F3" s="2" t="s">
        <v>47</v>
      </c>
      <c r="G3" s="2" t="s">
        <v>46</v>
      </c>
      <c r="H3" s="2" t="s">
        <v>4</v>
      </c>
      <c r="I3" s="2" t="s">
        <v>4</v>
      </c>
      <c r="J3" s="2" t="s">
        <v>4</v>
      </c>
      <c r="K3" s="2" t="s">
        <v>4</v>
      </c>
      <c r="L3" s="2" t="s">
        <v>4</v>
      </c>
      <c r="M3" s="2" t="s">
        <v>4</v>
      </c>
      <c r="N3" s="2" t="s">
        <v>4</v>
      </c>
      <c r="O3" s="2" t="s">
        <v>4</v>
      </c>
      <c r="P3" s="3">
        <f t="shared" ref="P3:P6" ca="1" si="0">TODAY()</f>
        <v>46211</v>
      </c>
      <c r="Q3" s="4" t="s">
        <v>18</v>
      </c>
      <c r="R3" s="2" t="s">
        <v>24</v>
      </c>
    </row>
    <row r="4" spans="1:18" ht="46.15" customHeight="1" x14ac:dyDescent="0.25">
      <c r="A4" s="2" t="s">
        <v>42</v>
      </c>
      <c r="B4" s="2" t="s">
        <v>31</v>
      </c>
      <c r="C4" s="2" t="s">
        <v>14</v>
      </c>
      <c r="D4" s="2" t="s">
        <v>3</v>
      </c>
      <c r="E4" s="2" t="s">
        <v>6</v>
      </c>
      <c r="F4" s="2" t="s">
        <v>53</v>
      </c>
      <c r="G4" s="2" t="s">
        <v>57</v>
      </c>
      <c r="H4" s="2" t="s">
        <v>52</v>
      </c>
      <c r="I4" s="2" t="s">
        <v>56</v>
      </c>
      <c r="J4" s="2" t="s">
        <v>54</v>
      </c>
      <c r="K4" s="2" t="s">
        <v>55</v>
      </c>
      <c r="L4" s="2" t="s">
        <v>58</v>
      </c>
      <c r="M4" s="2" t="s">
        <v>63</v>
      </c>
      <c r="N4" s="2" t="s">
        <v>4</v>
      </c>
      <c r="O4" s="2" t="s">
        <v>4</v>
      </c>
      <c r="P4" s="3">
        <f t="shared" ca="1" si="0"/>
        <v>46211</v>
      </c>
      <c r="Q4" s="4" t="s">
        <v>18</v>
      </c>
      <c r="R4" s="2" t="s">
        <v>24</v>
      </c>
    </row>
    <row r="5" spans="1:18" ht="46.15" customHeight="1" x14ac:dyDescent="0.25">
      <c r="A5" s="2" t="s">
        <v>64</v>
      </c>
      <c r="B5" s="2" t="s">
        <v>31</v>
      </c>
      <c r="C5" s="2" t="s">
        <v>14</v>
      </c>
      <c r="D5" s="2" t="s">
        <v>3</v>
      </c>
      <c r="E5" s="2" t="s">
        <v>6</v>
      </c>
      <c r="F5" s="2" t="s">
        <v>65</v>
      </c>
      <c r="G5" s="2" t="s">
        <v>68</v>
      </c>
      <c r="H5" s="2" t="s">
        <v>66</v>
      </c>
      <c r="I5" s="2" t="s">
        <v>67</v>
      </c>
      <c r="J5" s="2" t="s">
        <v>4</v>
      </c>
      <c r="K5" s="2" t="s">
        <v>4</v>
      </c>
      <c r="L5" s="2" t="s">
        <v>4</v>
      </c>
      <c r="M5" s="2" t="s">
        <v>4</v>
      </c>
      <c r="N5" s="2" t="s">
        <v>4</v>
      </c>
      <c r="O5" s="2" t="s">
        <v>4</v>
      </c>
      <c r="P5" s="3">
        <f t="shared" ca="1" si="0"/>
        <v>46211</v>
      </c>
      <c r="Q5" s="4" t="s">
        <v>18</v>
      </c>
      <c r="R5" s="2" t="s">
        <v>24</v>
      </c>
    </row>
    <row r="6" spans="1:18" ht="46.15" customHeight="1" x14ac:dyDescent="0.25">
      <c r="A6" s="2" t="s">
        <v>69</v>
      </c>
      <c r="B6" s="2" t="s">
        <v>31</v>
      </c>
      <c r="C6" s="2" t="s">
        <v>14</v>
      </c>
      <c r="D6" s="2" t="s">
        <v>3</v>
      </c>
      <c r="E6" s="2" t="s">
        <v>6</v>
      </c>
      <c r="F6" s="2" t="s">
        <v>49</v>
      </c>
      <c r="G6" s="2" t="s">
        <v>48</v>
      </c>
      <c r="H6" s="2" t="s">
        <v>4</v>
      </c>
      <c r="I6" s="2" t="s">
        <v>4</v>
      </c>
      <c r="J6" s="2" t="s">
        <v>4</v>
      </c>
      <c r="K6" s="2" t="s">
        <v>4</v>
      </c>
      <c r="L6" s="2" t="s">
        <v>4</v>
      </c>
      <c r="M6" s="2" t="s">
        <v>4</v>
      </c>
      <c r="N6" s="2" t="s">
        <v>4</v>
      </c>
      <c r="O6" s="2" t="s">
        <v>4</v>
      </c>
      <c r="P6" s="3">
        <f t="shared" ca="1" si="0"/>
        <v>46211</v>
      </c>
      <c r="Q6" s="4" t="s">
        <v>18</v>
      </c>
      <c r="R6" s="2" t="s">
        <v>24</v>
      </c>
    </row>
    <row r="7" spans="1:18" ht="46.15" customHeight="1" x14ac:dyDescent="0.25">
      <c r="A7" s="2" t="s">
        <v>30</v>
      </c>
      <c r="B7" s="2" t="s">
        <v>31</v>
      </c>
      <c r="C7" s="2" t="s">
        <v>12</v>
      </c>
      <c r="D7" s="2" t="s">
        <v>3</v>
      </c>
      <c r="E7" s="2" t="s">
        <v>6</v>
      </c>
      <c r="F7" s="2" t="s">
        <v>44</v>
      </c>
      <c r="G7" s="2" t="s">
        <v>36</v>
      </c>
      <c r="H7" s="2" t="s">
        <v>8</v>
      </c>
      <c r="I7" s="2" t="s">
        <v>36</v>
      </c>
      <c r="J7" s="2" t="s">
        <v>4</v>
      </c>
      <c r="K7" s="2" t="s">
        <v>4</v>
      </c>
      <c r="L7" s="2" t="s">
        <v>4</v>
      </c>
      <c r="M7" s="2" t="s">
        <v>4</v>
      </c>
      <c r="N7" s="2" t="s">
        <v>4</v>
      </c>
      <c r="O7" s="2" t="s">
        <v>4</v>
      </c>
      <c r="P7" s="3">
        <f t="shared" ref="P7:P11" ca="1" si="1">TODAY()</f>
        <v>46211</v>
      </c>
      <c r="Q7" s="4" t="s">
        <v>19</v>
      </c>
      <c r="R7" s="2" t="s">
        <v>25</v>
      </c>
    </row>
    <row r="8" spans="1:18" ht="46.15" customHeight="1" x14ac:dyDescent="0.25">
      <c r="A8" s="2" t="s">
        <v>70</v>
      </c>
      <c r="B8" s="2" t="s">
        <v>31</v>
      </c>
      <c r="C8" s="2" t="s">
        <v>13</v>
      </c>
      <c r="D8" s="2" t="s">
        <v>3</v>
      </c>
      <c r="E8" s="2" t="s">
        <v>6</v>
      </c>
      <c r="F8" s="2" t="s">
        <v>51</v>
      </c>
      <c r="G8" s="2" t="s">
        <v>50</v>
      </c>
      <c r="H8" s="2" t="s">
        <v>4</v>
      </c>
      <c r="I8" s="2" t="s">
        <v>4</v>
      </c>
      <c r="J8" s="2" t="s">
        <v>4</v>
      </c>
      <c r="K8" s="2" t="s">
        <v>4</v>
      </c>
      <c r="L8" s="2" t="s">
        <v>4</v>
      </c>
      <c r="M8" s="2" t="s">
        <v>4</v>
      </c>
      <c r="N8" s="2" t="s">
        <v>4</v>
      </c>
      <c r="O8" s="2" t="s">
        <v>4</v>
      </c>
      <c r="P8" s="3">
        <f t="shared" ca="1" si="1"/>
        <v>46211</v>
      </c>
      <c r="Q8" s="4" t="s">
        <v>20</v>
      </c>
      <c r="R8" s="2" t="s">
        <v>26</v>
      </c>
    </row>
    <row r="9" spans="1:18" ht="63" x14ac:dyDescent="0.25">
      <c r="A9" s="2" t="s">
        <v>73</v>
      </c>
      <c r="B9" s="2" t="s">
        <v>31</v>
      </c>
      <c r="C9" s="2" t="s">
        <v>12</v>
      </c>
      <c r="D9" s="2" t="s">
        <v>3</v>
      </c>
      <c r="E9" s="2" t="s">
        <v>6</v>
      </c>
      <c r="F9" s="2" t="s">
        <v>4</v>
      </c>
      <c r="G9" s="2" t="s">
        <v>4</v>
      </c>
      <c r="H9" s="2" t="s">
        <v>4</v>
      </c>
      <c r="I9" s="2" t="s">
        <v>4</v>
      </c>
      <c r="J9" s="2" t="s">
        <v>4</v>
      </c>
      <c r="K9" s="2" t="s">
        <v>4</v>
      </c>
      <c r="L9" s="2" t="s">
        <v>4</v>
      </c>
      <c r="M9" s="2" t="s">
        <v>4</v>
      </c>
      <c r="N9" s="2" t="s">
        <v>4</v>
      </c>
      <c r="O9" s="2" t="s">
        <v>4</v>
      </c>
      <c r="P9" s="3">
        <f t="shared" ca="1" si="1"/>
        <v>46211</v>
      </c>
      <c r="Q9" s="4" t="s">
        <v>71</v>
      </c>
      <c r="R9" s="2" t="s">
        <v>72</v>
      </c>
    </row>
    <row r="10" spans="1:18" ht="46.15" customHeight="1" x14ac:dyDescent="0.25">
      <c r="A10" s="2" t="s">
        <v>9</v>
      </c>
      <c r="B10" s="2" t="s">
        <v>10</v>
      </c>
      <c r="C10" s="2" t="s">
        <v>14</v>
      </c>
      <c r="D10" s="2" t="s">
        <v>33</v>
      </c>
      <c r="E10" s="2" t="s">
        <v>32</v>
      </c>
      <c r="F10" s="2" t="s">
        <v>4</v>
      </c>
      <c r="G10" s="2" t="s">
        <v>4</v>
      </c>
      <c r="H10" s="2" t="s">
        <v>4</v>
      </c>
      <c r="I10" s="2" t="s">
        <v>4</v>
      </c>
      <c r="J10" s="2" t="s">
        <v>4</v>
      </c>
      <c r="K10" s="2" t="s">
        <v>4</v>
      </c>
      <c r="L10" s="2" t="s">
        <v>4</v>
      </c>
      <c r="M10" s="2" t="s">
        <v>4</v>
      </c>
      <c r="N10" s="2" t="s">
        <v>4</v>
      </c>
      <c r="O10" s="2" t="s">
        <v>4</v>
      </c>
      <c r="P10" s="3">
        <f t="shared" ca="1" si="1"/>
        <v>46211</v>
      </c>
      <c r="Q10" s="4" t="s">
        <v>21</v>
      </c>
      <c r="R10" s="2" t="s">
        <v>23</v>
      </c>
    </row>
    <row r="11" spans="1:18" ht="46.15" customHeight="1" x14ac:dyDescent="0.25">
      <c r="A11" s="2" t="s">
        <v>29</v>
      </c>
      <c r="B11" s="2" t="s">
        <v>5</v>
      </c>
      <c r="C11" s="2" t="s">
        <v>12</v>
      </c>
      <c r="D11" s="2" t="s">
        <v>3</v>
      </c>
      <c r="E11" s="2" t="s">
        <v>6</v>
      </c>
      <c r="F11" s="2" t="s">
        <v>4</v>
      </c>
      <c r="G11" s="2" t="s">
        <v>4</v>
      </c>
      <c r="H11" s="2" t="s">
        <v>4</v>
      </c>
      <c r="I11" s="2" t="s">
        <v>4</v>
      </c>
      <c r="J11" s="2" t="s">
        <v>4</v>
      </c>
      <c r="K11" s="2" t="s">
        <v>4</v>
      </c>
      <c r="L11" s="2" t="s">
        <v>4</v>
      </c>
      <c r="M11" s="2" t="s">
        <v>4</v>
      </c>
      <c r="N11" s="2" t="s">
        <v>4</v>
      </c>
      <c r="O11" s="2" t="s">
        <v>4</v>
      </c>
      <c r="P11" s="3">
        <f t="shared" ca="1" si="1"/>
        <v>46211</v>
      </c>
      <c r="Q11" s="4" t="s">
        <v>22</v>
      </c>
      <c r="R11" s="2" t="s">
        <v>27</v>
      </c>
    </row>
  </sheetData>
  <hyperlinks>
    <hyperlink ref="Q8" r:id="rId1" xr:uid="{F3241516-93C2-476B-A81F-7FFFF2AF179B}"/>
    <hyperlink ref="Q10" r:id="rId2" xr:uid="{6B3B6708-D8F9-453C-A009-828C3ABE99C1}"/>
    <hyperlink ref="Q11" r:id="rId3" xr:uid="{E09672A6-BA23-4330-B2EE-85E20368D50D}"/>
    <hyperlink ref="Q7" r:id="rId4" xr:uid="{EEF0243D-8982-4C49-A21D-2E9EA12B1F8B}"/>
    <hyperlink ref="Q2" r:id="rId5" xr:uid="{36B120BD-6E09-427B-BE9F-98CCD4C19F7C}"/>
    <hyperlink ref="Q3" r:id="rId6" xr:uid="{4F4C41A0-9295-4A06-9B51-E2FB79D068F3}"/>
    <hyperlink ref="Q4" r:id="rId7" xr:uid="{B3F42116-BDE0-438B-A08F-FB3A88A2AB88}"/>
    <hyperlink ref="Q5" r:id="rId8" xr:uid="{D35ADD60-7D84-4816-B551-821D6A601CAA}"/>
    <hyperlink ref="Q6" r:id="rId9" xr:uid="{C914AFB7-CCC5-4AA6-8B03-58A37EAA7A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Dietz</dc:creator>
  <cp:lastModifiedBy>Robert Dietz</cp:lastModifiedBy>
  <dcterms:created xsi:type="dcterms:W3CDTF">2026-04-29T15:00:57Z</dcterms:created>
  <dcterms:modified xsi:type="dcterms:W3CDTF">2026-07-08T22:57:53Z</dcterms:modified>
</cp:coreProperties>
</file>